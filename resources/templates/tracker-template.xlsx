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Balances" sheetId="5" state="visible" r:id="rId5"/>
    <sheet xmlns:r="http://schemas.openxmlformats.org/officeDocument/2006/relationships" name="PayP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m yyyy"/>
    <numFmt numFmtId="165" formatCode="0.0000"/>
    <numFmt numFmtId="166" formatCode="\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mmary_Table" displayName="Summary_Table" ref="B3:F5" headerRowCount="1">
  <autoFilter ref="B3:F5"/>
  <tableColumns count="5">
    <tableColumn id="2" name="Year"/>
    <tableColumn id="3" name="Income"/>
    <tableColumn id="4" name="Expenses"/>
    <tableColumn id="5" name="Cash flow"/>
    <tableColumn id="6" name="Profit"/>
  </tableColumns>
  <tableStyleInfo name="TableStyleLight9" showRowStripes="1"/>
</table>
</file>

<file path=xl/tables/table2.xml><?xml version="1.0" encoding="utf-8"?>
<table xmlns="http://schemas.openxmlformats.org/spreadsheetml/2006/main" id="2" name="Income_Table" displayName="Income_Table" ref="B3:M4" headerRowCount="1">
  <autoFilter ref="B3:M4"/>
  <tableColumns count="12">
    <tableColumn id="2" name="Date"/>
    <tableColumn id="3" name="Category"/>
    <tableColumn id="4" name="Sub-Category"/>
    <tableColumn id="5" name="Customer/Vendor"/>
    <tableColumn id="6" name="Currency"/>
    <tableColumn id="7" name="FX"/>
    <tableColumn id="8" name="Amount"/>
    <tableColumn id="9" name="VAT"/>
    <tableColumn id="10" name="Total"/>
    <tableColumn id="11" name="Amount GBP"/>
    <tableColumn id="12" name="Description"/>
    <tableColumn id="13" name="Payment Method"/>
  </tableColumns>
  <tableStyleInfo name="TableStyleLight9" showRowStripes="1"/>
</table>
</file>

<file path=xl/tables/table3.xml><?xml version="1.0" encoding="utf-8"?>
<table xmlns="http://schemas.openxmlformats.org/spreadsheetml/2006/main" id="3" name="Expenses_Table" displayName="Expenses_Table" ref="B3:M4" headerRowCount="1">
  <autoFilter ref="B3:M4"/>
  <tableColumns count="12">
    <tableColumn id="2" name="Date"/>
    <tableColumn id="3" name="Category"/>
    <tableColumn id="4" name="Sub-Category"/>
    <tableColumn id="5" name="Customer/Vendor"/>
    <tableColumn id="6" name="Currency"/>
    <tableColumn id="7" name="FX"/>
    <tableColumn id="8" name="Amount"/>
    <tableColumn id="9" name="VAT"/>
    <tableColumn id="10" name="Total"/>
    <tableColumn id="11" name="Amount GBP"/>
    <tableColumn id="12" name="Description"/>
    <tableColumn id="13" name="Payment Method"/>
  </tableColumns>
  <tableStyleInfo name="TableStyleLight9" showRowStripes="1"/>
</table>
</file>

<file path=xl/tables/table4.xml><?xml version="1.0" encoding="utf-8"?>
<table xmlns="http://schemas.openxmlformats.org/spreadsheetml/2006/main" id="4" name="CF_Table" displayName="CF_Table" ref="B3:M4" headerRowCount="1">
  <autoFilter ref="B3:M4"/>
  <tableColumns count="12">
    <tableColumn id="2" name="Date"/>
    <tableColumn id="3" name="Category"/>
    <tableColumn id="4" name="Sub-Category"/>
    <tableColumn id="5" name="Customer/Vendor"/>
    <tableColumn id="6" name="Currency"/>
    <tableColumn id="7" name="FX"/>
    <tableColumn id="8" name="Amount"/>
    <tableColumn id="9" name="VAT"/>
    <tableColumn id="10" name="Total"/>
    <tableColumn id="11" name="Amount GBP"/>
    <tableColumn id="12" name="Description"/>
    <tableColumn id="13" name="Payment Method"/>
  </tableColumns>
  <tableStyleInfo name="TableStyleLight9" showRowStripes="1"/>
</table>
</file>

<file path=xl/tables/table5.xml><?xml version="1.0" encoding="utf-8"?>
<table xmlns="http://schemas.openxmlformats.org/spreadsheetml/2006/main" id="5" name="PayPal_USD" displayName="PayPal_USD" ref="B6:F7" headerRowCount="1">
  <autoFilter ref="B6:F7"/>
  <tableColumns count="5">
    <tableColumn id="2" name="Date"/>
    <tableColumn id="3" name="Description"/>
    <tableColumn id="4" name="Source"/>
    <tableColumn id="5" name="Amount"/>
    <tableColumn id="6" name="Balance"/>
  </tableColumns>
  <tableStyleInfo name="TableStyleLight9" showRowStripes="1"/>
</table>
</file>

<file path=xl/tables/table6.xml><?xml version="1.0" encoding="utf-8"?>
<table xmlns="http://schemas.openxmlformats.org/spreadsheetml/2006/main" id="6" name="PayPal_EUR" displayName="PayPal_EUR" ref="B27:F28" headerRowCount="1">
  <autoFilter ref="B27:F28"/>
  <tableColumns count="5">
    <tableColumn id="2" name="Date"/>
    <tableColumn id="3" name="Description"/>
    <tableColumn id="4" name="Source"/>
    <tableColumn id="5" name="Amount"/>
    <tableColumn id="6" name="Balanc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Summary</t>
        </is>
      </c>
    </row>
    <row r="3">
      <c r="B3" s="2" t="inlineStr">
        <is>
          <t>Year</t>
        </is>
      </c>
      <c r="C3" s="2" t="inlineStr">
        <is>
          <t>Income</t>
        </is>
      </c>
      <c r="D3" s="2" t="inlineStr">
        <is>
          <t>Expenses</t>
        </is>
      </c>
      <c r="E3" s="2" t="inlineStr">
        <is>
          <t>Cash flow</t>
        </is>
      </c>
      <c r="F3" s="2" t="inlineStr">
        <is>
          <t>Profit</t>
        </is>
      </c>
    </row>
    <row r="4">
      <c r="B4" s="3" t="n"/>
      <c r="C4" s="4">
        <f>SUMIFS(Income_Table[Amount GBP],Income_Table[Date],"&lt;="&amp;DATE(Summary_Table[[#This Row],[Year]],12,31))</f>
        <v/>
      </c>
      <c r="D4" s="4">
        <f>SUMIFS(Expenses_Table[Amount GBP],Expenses_Table[Date],"&lt;="&amp;DATE(Summary_Table[[#This Row],[Year]],12,31))</f>
        <v/>
      </c>
      <c r="E4" s="4">
        <f>SUMIFS(CF_Table[Amount GBP],CF_Table[Date],"&lt;="&amp;DATE(Summary_Table[[#This Row],[Year]],12,31))</f>
        <v/>
      </c>
      <c r="F4" s="4">
        <f>Summary_Table[[#This Row],[Income]]-Summary_Table[[#This Row],[Expenses]]</f>
        <v/>
      </c>
    </row>
    <row r="5">
      <c r="B5" s="3" t="n"/>
      <c r="C5" s="4">
        <f>SUMIFS(Income_Table[Amount GBP],Income_Table[Date],"&gt;="&amp;DATE(Summary_Table[[#This Row],[Year]],1,1),Income_Table[Date],"&lt;="&amp;DATE(Summary_Table[[#This Row],[Year]],12,31))</f>
        <v/>
      </c>
      <c r="D5" s="4">
        <f>SUMIFS(Expenses_Table[Amount GBP],Expenses_Table[Date],"&gt;="&amp;DATE(Summary_Table[[#This Row],[Year]],1,1),Expenses_Table[Date],"&lt;="&amp;DATE(Summary_Table[[#This Row],[Year]],12,31))</f>
        <v/>
      </c>
      <c r="E5" s="4">
        <f>SUMIFS(CF_Table[Amount GBP],CF_Table[Date],"&gt;="&amp;DATE(Summary_Table[[#This Row],[Year]],1,1),CF_Table[Date],"&lt;="&amp;DATE(Summary_Table[[#This Row],[Year]],12,31))</f>
        <v/>
      </c>
      <c r="F5" s="4">
        <f>Summary_Table[[#This Row],[Income]]-Summary_Table[[#This Row],[Expenses]]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24" customWidth="1" min="4" max="4"/>
    <col width="24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40" customWidth="1" min="12" max="12"/>
    <col width="18" customWidth="1" min="13" max="13"/>
  </cols>
  <sheetData>
    <row r="1">
      <c r="B1" s="1" t="inlineStr">
        <is>
          <t>Income</t>
        </is>
      </c>
    </row>
    <row r="3">
      <c r="B3" s="2" t="inlineStr">
        <is>
          <t>Date</t>
        </is>
      </c>
      <c r="C3" s="2" t="inlineStr">
        <is>
          <t>Category</t>
        </is>
      </c>
      <c r="D3" s="2" t="inlineStr">
        <is>
          <t>Sub-Category</t>
        </is>
      </c>
      <c r="E3" s="2" t="inlineStr">
        <is>
          <t>Customer/Vendor</t>
        </is>
      </c>
      <c r="F3" s="2" t="inlineStr">
        <is>
          <t>Currency</t>
        </is>
      </c>
      <c r="G3" s="2" t="inlineStr">
        <is>
          <t>FX</t>
        </is>
      </c>
      <c r="H3" s="2" t="inlineStr">
        <is>
          <t>Amount</t>
        </is>
      </c>
      <c r="I3" s="2" t="inlineStr">
        <is>
          <t>VAT</t>
        </is>
      </c>
      <c r="J3" s="2" t="inlineStr">
        <is>
          <t>Total</t>
        </is>
      </c>
      <c r="K3" s="2" t="inlineStr">
        <is>
          <t>Amount GBP</t>
        </is>
      </c>
      <c r="L3" s="2" t="inlineStr">
        <is>
          <t>Description</t>
        </is>
      </c>
      <c r="M3" s="2" t="inlineStr">
        <is>
          <t>Payment Method</t>
        </is>
      </c>
    </row>
    <row r="4">
      <c r="B4" s="5" t="n"/>
      <c r="C4" s="6" t="n"/>
      <c r="D4" s="6" t="n"/>
      <c r="E4" s="6" t="n"/>
      <c r="F4" s="6" t="n"/>
      <c r="G4" s="7" t="n"/>
      <c r="H4" s="8" t="n"/>
      <c r="I4" s="8" t="n"/>
      <c r="J4" s="8" t="n"/>
      <c r="K4" s="4" t="n"/>
      <c r="L4" s="6" t="n"/>
      <c r="M4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24" customWidth="1" min="4" max="4"/>
    <col width="24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40" customWidth="1" min="12" max="12"/>
    <col width="18" customWidth="1" min="13" max="13"/>
  </cols>
  <sheetData>
    <row r="1">
      <c r="B1" s="1" t="inlineStr">
        <is>
          <t>Expenses</t>
        </is>
      </c>
    </row>
    <row r="3">
      <c r="B3" s="2" t="inlineStr">
        <is>
          <t>Date</t>
        </is>
      </c>
      <c r="C3" s="2" t="inlineStr">
        <is>
          <t>Category</t>
        </is>
      </c>
      <c r="D3" s="2" t="inlineStr">
        <is>
          <t>Sub-Category</t>
        </is>
      </c>
      <c r="E3" s="2" t="inlineStr">
        <is>
          <t>Customer/Vendor</t>
        </is>
      </c>
      <c r="F3" s="2" t="inlineStr">
        <is>
          <t>Currency</t>
        </is>
      </c>
      <c r="G3" s="2" t="inlineStr">
        <is>
          <t>FX</t>
        </is>
      </c>
      <c r="H3" s="2" t="inlineStr">
        <is>
          <t>Amount</t>
        </is>
      </c>
      <c r="I3" s="2" t="inlineStr">
        <is>
          <t>VAT</t>
        </is>
      </c>
      <c r="J3" s="2" t="inlineStr">
        <is>
          <t>Total</t>
        </is>
      </c>
      <c r="K3" s="2" t="inlineStr">
        <is>
          <t>Amount GBP</t>
        </is>
      </c>
      <c r="L3" s="2" t="inlineStr">
        <is>
          <t>Description</t>
        </is>
      </c>
      <c r="M3" s="2" t="inlineStr">
        <is>
          <t>Payment Method</t>
        </is>
      </c>
    </row>
    <row r="4">
      <c r="B4" s="5" t="n"/>
      <c r="C4" s="6" t="n"/>
      <c r="D4" s="6" t="n"/>
      <c r="E4" s="6" t="n"/>
      <c r="F4" s="6" t="n"/>
      <c r="G4" s="7" t="n"/>
      <c r="H4" s="8" t="n"/>
      <c r="I4" s="8" t="n"/>
      <c r="J4" s="8" t="n"/>
      <c r="K4" s="4" t="n"/>
      <c r="L4" s="6" t="n"/>
      <c r="M4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24" customWidth="1" min="4" max="4"/>
    <col width="24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40" customWidth="1" min="12" max="12"/>
    <col width="18" customWidth="1" min="13" max="13"/>
  </cols>
  <sheetData>
    <row r="1">
      <c r="B1" s="1" t="inlineStr">
        <is>
          <t>Cash flow</t>
        </is>
      </c>
    </row>
    <row r="3">
      <c r="B3" s="2" t="inlineStr">
        <is>
          <t>Date</t>
        </is>
      </c>
      <c r="C3" s="2" t="inlineStr">
        <is>
          <t>Category</t>
        </is>
      </c>
      <c r="D3" s="2" t="inlineStr">
        <is>
          <t>Sub-Category</t>
        </is>
      </c>
      <c r="E3" s="2" t="inlineStr">
        <is>
          <t>Customer/Vendor</t>
        </is>
      </c>
      <c r="F3" s="2" t="inlineStr">
        <is>
          <t>Currency</t>
        </is>
      </c>
      <c r="G3" s="2" t="inlineStr">
        <is>
          <t>FX</t>
        </is>
      </c>
      <c r="H3" s="2" t="inlineStr">
        <is>
          <t>Amount</t>
        </is>
      </c>
      <c r="I3" s="2" t="inlineStr">
        <is>
          <t>VAT</t>
        </is>
      </c>
      <c r="J3" s="2" t="inlineStr">
        <is>
          <t>Total</t>
        </is>
      </c>
      <c r="K3" s="2" t="inlineStr">
        <is>
          <t>Amount GBP</t>
        </is>
      </c>
      <c r="L3" s="2" t="inlineStr">
        <is>
          <t>Description</t>
        </is>
      </c>
      <c r="M3" s="2" t="inlineStr">
        <is>
          <t>Payment Method</t>
        </is>
      </c>
    </row>
    <row r="4">
      <c r="B4" s="5" t="n"/>
      <c r="C4" s="6" t="n"/>
      <c r="D4" s="6" t="n"/>
      <c r="E4" s="6" t="n"/>
      <c r="F4" s="6" t="n"/>
      <c r="G4" s="7" t="n"/>
      <c r="H4" s="8" t="n"/>
      <c r="I4" s="8" t="n"/>
      <c r="J4" s="8" t="n"/>
      <c r="K4" s="4" t="n"/>
      <c r="L4" s="6" t="n"/>
      <c r="M4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Account balances</t>
        </is>
      </c>
    </row>
    <row r="3">
      <c r="B3" t="inlineStr">
        <is>
          <t>Balances at each date, in the account currency.</t>
        </is>
      </c>
    </row>
    <row r="6">
      <c r="B6" s="2" t="inlineStr">
        <is>
          <t>Account</t>
        </is>
      </c>
      <c r="C6" s="2" t="inlineStr">
        <is>
          <t>Currency</t>
        </is>
      </c>
      <c r="D6" s="2" t="inlineStr">
        <is>
          <t>31 Dec 2023</t>
        </is>
      </c>
      <c r="E6" s="2" t="inlineStr">
        <is>
          <t>31 Dec 2024</t>
        </is>
      </c>
      <c r="F6" s="2" t="inlineStr">
        <is>
          <t>31 Dec 2025</t>
        </is>
      </c>
      <c r="G6" s="2" t="inlineStr">
        <is>
          <t>17 Mar 2026</t>
        </is>
      </c>
      <c r="H6" s="2" t="inlineStr">
        <is>
          <t>Notes</t>
        </is>
      </c>
    </row>
    <row r="7">
      <c r="B7" s="6" t="n"/>
      <c r="C7" s="6" t="n"/>
      <c r="D7" s="8" t="n"/>
      <c r="E7" s="8" t="n"/>
      <c r="F7" s="8" t="n"/>
      <c r="G7" s="8" t="n"/>
      <c r="H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28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4" customWidth="1" min="4" max="4"/>
    <col width="12" customWidth="1" min="5" max="5"/>
    <col width="12" customWidth="1" min="6" max="6"/>
  </cols>
  <sheetData>
    <row r="1">
      <c r="B1" s="1" t="inlineStr">
        <is>
          <t>PayPal</t>
        </is>
      </c>
    </row>
    <row r="5">
      <c r="B5" s="9" t="inlineStr">
        <is>
          <t>USD</t>
        </is>
      </c>
    </row>
    <row r="6">
      <c r="B6" s="2" t="inlineStr">
        <is>
          <t>Date</t>
        </is>
      </c>
      <c r="C6" s="2" t="inlineStr">
        <is>
          <t>Description</t>
        </is>
      </c>
      <c r="D6" s="2" t="inlineStr">
        <is>
          <t>Source</t>
        </is>
      </c>
      <c r="E6" s="2" t="inlineStr">
        <is>
          <t>Amount</t>
        </is>
      </c>
      <c r="F6" s="2" t="inlineStr">
        <is>
          <t>Balance</t>
        </is>
      </c>
    </row>
    <row r="7">
      <c r="B7" s="5" t="n"/>
      <c r="C7" s="6" t="n"/>
      <c r="D7" s="6" t="n"/>
      <c r="E7" s="8" t="n"/>
      <c r="F7" s="8" t="n"/>
    </row>
    <row r="26">
      <c r="B26" s="9" t="inlineStr">
        <is>
          <t>EUR</t>
        </is>
      </c>
    </row>
    <row r="27">
      <c r="B27" s="2" t="inlineStr">
        <is>
          <t>Date</t>
        </is>
      </c>
      <c r="C27" s="2" t="inlineStr">
        <is>
          <t>Description</t>
        </is>
      </c>
      <c r="D27" s="2" t="inlineStr">
        <is>
          <t>Source</t>
        </is>
      </c>
      <c r="E27" s="2" t="inlineStr">
        <is>
          <t>Amount</t>
        </is>
      </c>
      <c r="F27" s="2" t="inlineStr">
        <is>
          <t>Balance</t>
        </is>
      </c>
    </row>
    <row r="28">
      <c r="B28" s="5" t="n"/>
      <c r="C28" s="6" t="n"/>
      <c r="D28" s="6" t="n"/>
      <c r="E28" s="8" t="n"/>
      <c r="F28" s="8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2026-10-20T20:47:53Z</dcterms:created>
  <dcterms:modified xmlns:dcterms="http://purl.org/dc/terms/" xmlns:xsi="http://www.w3.org/2001/XMLSchema-instance" xsi:type="dcterms:W3CDTF">2026-10-20T20:47:53Z</dcterms:modified>
</cp:coreProperties>
</file>